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2026\May\TC_Efficiency_Measurement_Dashboard\"/>
    </mc:Choice>
  </mc:AlternateContent>
  <xr:revisionPtr revIDLastSave="0" documentId="13_ncr:1_{B237E6D8-F6E3-479D-87F6-966B860913A6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2" i="2"/>
</calcChain>
</file>

<file path=xl/sharedStrings.xml><?xml version="1.0" encoding="utf-8"?>
<sst xmlns="http://schemas.openxmlformats.org/spreadsheetml/2006/main" count="278" uniqueCount="134">
  <si>
    <t>Dept</t>
  </si>
  <si>
    <t>Program Name</t>
  </si>
  <si>
    <t>PM Responsible</t>
  </si>
  <si>
    <t>Program Code</t>
  </si>
  <si>
    <t>Baseline</t>
  </si>
  <si>
    <t>Baseline Start</t>
  </si>
  <si>
    <t>Baseline End</t>
  </si>
  <si>
    <t>DTech</t>
  </si>
  <si>
    <t>MOON</t>
  </si>
  <si>
    <t>Nitin Naghate</t>
  </si>
  <si>
    <t>PGA001</t>
  </si>
  <si>
    <t>1.5.1</t>
  </si>
  <si>
    <t>TET</t>
  </si>
  <si>
    <t>RIGHT</t>
  </si>
  <si>
    <t>Nandan Nair</t>
  </si>
  <si>
    <t>PGA005</t>
  </si>
  <si>
    <t>4.2.0</t>
  </si>
  <si>
    <t>4.3.0</t>
  </si>
  <si>
    <t>4.4.0</t>
  </si>
  <si>
    <t>4.5.0</t>
  </si>
  <si>
    <t>SSsys</t>
  </si>
  <si>
    <t>DMS</t>
  </si>
  <si>
    <t>JAHAGIRDAR Vaidehi</t>
  </si>
  <si>
    <t>PGA019</t>
  </si>
  <si>
    <t>RBC MSS</t>
  </si>
  <si>
    <t>Yogish V</t>
  </si>
  <si>
    <t>PGA302</t>
  </si>
  <si>
    <t>3.3.2</t>
  </si>
  <si>
    <t>DAS</t>
  </si>
  <si>
    <t>Chandrashekar BC</t>
  </si>
  <si>
    <t>PGA029</t>
  </si>
  <si>
    <t>U400 MSS</t>
  </si>
  <si>
    <t>PGA048</t>
  </si>
  <si>
    <t>Mumbai-Pune 6.5.0.3</t>
  </si>
  <si>
    <t>Concerto</t>
  </si>
  <si>
    <t>Sivakumar Jegannathan</t>
  </si>
  <si>
    <t>PGA253</t>
  </si>
  <si>
    <t>Baseline 1</t>
  </si>
  <si>
    <t>Baseline 2.0</t>
  </si>
  <si>
    <t>AI</t>
  </si>
  <si>
    <t>MDP</t>
  </si>
  <si>
    <t>Ekantharaja Y</t>
  </si>
  <si>
    <t>PGA288</t>
  </si>
  <si>
    <t>3.5.1</t>
  </si>
  <si>
    <t>4.0.0</t>
  </si>
  <si>
    <t>Urban</t>
  </si>
  <si>
    <t>Fluence</t>
  </si>
  <si>
    <t>Raviprasad Y</t>
  </si>
  <si>
    <t>RDZ292</t>
  </si>
  <si>
    <t>1.7.1</t>
  </si>
  <si>
    <t>PGA045</t>
  </si>
  <si>
    <t>2.1.2.3</t>
  </si>
  <si>
    <t>1.7.0</t>
  </si>
  <si>
    <t>1.8.1</t>
  </si>
  <si>
    <t>RD-Z291</t>
  </si>
  <si>
    <t>2.0.2</t>
  </si>
  <si>
    <t>Mainline</t>
  </si>
  <si>
    <t>ERTMS: RBC</t>
  </si>
  <si>
    <t>Prashanth KHR</t>
  </si>
  <si>
    <t>PGA024</t>
  </si>
  <si>
    <t>1.1.0</t>
  </si>
  <si>
    <t>ERTMS:EVC3</t>
  </si>
  <si>
    <t>PGA073</t>
  </si>
  <si>
    <t>1.2.0</t>
  </si>
  <si>
    <t>ERTMS: ONB: OCA</t>
  </si>
  <si>
    <t>10.1.0</t>
  </si>
  <si>
    <t>ATO</t>
  </si>
  <si>
    <t>1.5.0</t>
  </si>
  <si>
    <t>GE</t>
  </si>
  <si>
    <t>1.0.0</t>
  </si>
  <si>
    <t>CIXL-M</t>
  </si>
  <si>
    <t>Shanthi Kalarikkal</t>
  </si>
  <si>
    <t>PGA026</t>
  </si>
  <si>
    <t>CIXLM BL5.1</t>
  </si>
  <si>
    <t>CIXLM BL5.0, CIXLM BL5.1</t>
  </si>
  <si>
    <t>OPERA</t>
  </si>
  <si>
    <t>Saket Agrawal</t>
  </si>
  <si>
    <t>PG0032</t>
  </si>
  <si>
    <t>OPERA 8.3.0</t>
  </si>
  <si>
    <t>OPERA 8.0.1</t>
  </si>
  <si>
    <t>OPERA 8.4.0</t>
  </si>
  <si>
    <t>1.6.0</t>
  </si>
  <si>
    <t>ERTMS:RBC ASW</t>
  </si>
  <si>
    <t>1.3.0</t>
  </si>
  <si>
    <t>10.2.0</t>
  </si>
  <si>
    <t>5.0.0</t>
  </si>
  <si>
    <t>5.1.0</t>
  </si>
  <si>
    <t>5.2.0</t>
  </si>
  <si>
    <t>Srikanth G</t>
  </si>
  <si>
    <t>3.0.0 (RC1, RC2, Final)</t>
  </si>
  <si>
    <t>V&amp;V</t>
  </si>
  <si>
    <t>TRB</t>
  </si>
  <si>
    <t>Seetha LAKSHMI</t>
  </si>
  <si>
    <t>PGA 037</t>
  </si>
  <si>
    <t>6.10.7</t>
  </si>
  <si>
    <t>STEP</t>
  </si>
  <si>
    <t>R1.8_V2.3.0_Alpha 2</t>
  </si>
  <si>
    <t>U400</t>
  </si>
  <si>
    <t>Kishore B V</t>
  </si>
  <si>
    <t>ATC 15.1</t>
  </si>
  <si>
    <t>S-HMI</t>
  </si>
  <si>
    <t>Hari VEJENDLA</t>
  </si>
  <si>
    <t>PGA034</t>
  </si>
  <si>
    <t>3.2 Beta1</t>
  </si>
  <si>
    <t>4.6.2 Beta1</t>
  </si>
  <si>
    <t>STDS</t>
  </si>
  <si>
    <t>PGA035</t>
  </si>
  <si>
    <t>3.0 Beta1</t>
  </si>
  <si>
    <t>CASCO</t>
  </si>
  <si>
    <t>PGA037</t>
  </si>
  <si>
    <t>4.0.0 Beta2</t>
  </si>
  <si>
    <t>Compact</t>
  </si>
  <si>
    <t>4.1.0 Beta3</t>
  </si>
  <si>
    <t>IVC</t>
  </si>
  <si>
    <t>10.1.0 Beta1</t>
  </si>
  <si>
    <t>WOC-NP</t>
  </si>
  <si>
    <t>PGA232</t>
  </si>
  <si>
    <t>Alchemist</t>
  </si>
  <si>
    <t>K Kavitha</t>
  </si>
  <si>
    <t>PG0030</t>
  </si>
  <si>
    <t>Alchemist 4.60.0</t>
  </si>
  <si>
    <t>Spectrail</t>
  </si>
  <si>
    <t>Spectrail 3.4.3.2</t>
  </si>
  <si>
    <t>9/30/2025</t>
  </si>
  <si>
    <t>Spectrail 3.5</t>
  </si>
  <si>
    <t>Spectrail 3.5.1</t>
  </si>
  <si>
    <t>12/19/2025</t>
  </si>
  <si>
    <t>Total Effort Saved from opportunities (Euros)</t>
  </si>
  <si>
    <t>Estimated Hrs (Hours)</t>
  </si>
  <si>
    <t>Actual Hrs  (Hours)</t>
  </si>
  <si>
    <t>Effort Variance (Hours)</t>
  </si>
  <si>
    <t>Productivity Index (Hours)</t>
  </si>
  <si>
    <t>Total Effort Saved from opportunities (Hours)</t>
  </si>
  <si>
    <t>Total Cost Saved from opportunities (Euros)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</si>
</sst>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left" vertical="top" wrapText="1"/>
    </xf>
    <xf numFmtId="15" fontId="1" fillId="0" borderId="1" xfId="0" applyNumberFormat="1" applyFont="1" applyBorder="1" applyAlignment="1">
      <alignment horizontal="left" vertical="top" wrapText="1"/>
    </xf>
    <xf numFmtId="14" fontId="1" fillId="0" borderId="1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3CCEB"/>
      <color rgb="FFC0E6F5"/>
      <color rgb="FF156082"/>
      <color rgb="FFD9D9D9"/>
      <color rgb="FF000000"/>
      <color rgb="FF808080"/>
      <color rgb="FF104861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C0AD-4274-4676-8000-576B349090EF}">
  <dimension ref="A1:N56"/>
  <sheetViews>
    <sheetView tabSelected="1" zoomScaleNormal="100" workbookViewId="0">
      <selection activeCell="E10" sqref="E10"/>
    </sheetView>
  </sheetViews>
  <sheetFormatPr defaultRowHeight="14.5" x14ac:dyDescent="0.35"/>
  <cols>
    <col min="1" max="1" width="9" bestFit="1" customWidth="1"/>
    <col min="2" max="2" width="19.1796875" bestFit="1" customWidth="1"/>
    <col min="3" max="3" width="24.36328125" bestFit="1" customWidth="1"/>
    <col min="4" max="4" width="15.08984375" bestFit="1" customWidth="1"/>
    <col min="5" max="5" width="26.7265625" bestFit="1" customWidth="1"/>
    <col min="6" max="6" width="14.453125" bestFit="1" customWidth="1"/>
    <col min="7" max="7" width="13.90625" bestFit="1" customWidth="1"/>
    <col min="8" max="8" width="22.7265625" bestFit="1" customWidth="1"/>
    <col min="9" max="9" width="19.1796875" bestFit="1" customWidth="1"/>
    <col min="10" max="10" width="14.81640625" bestFit="1" customWidth="1"/>
    <col min="11" max="11" width="17.1796875" bestFit="1" customWidth="1"/>
    <col min="12" max="12" width="36" bestFit="1" customWidth="1"/>
    <col min="13" max="13" width="43.7265625" bestFit="1" customWidth="1"/>
    <col min="14" max="14" width="35.54296875" bestFit="1" customWidth="1"/>
    <col min="15" max="20" width="92.26953125" customWidth="1"/>
  </cols>
  <sheetData>
    <row r="1" spans="1:14" ht="2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128</v>
      </c>
      <c r="I1" s="3" t="s">
        <v>129</v>
      </c>
      <c r="J1" s="3" t="s">
        <v>130</v>
      </c>
      <c r="K1" s="3" t="s">
        <v>131</v>
      </c>
      <c r="L1" s="3" t="s">
        <v>132</v>
      </c>
      <c r="M1" s="3" t="s">
        <v>127</v>
      </c>
      <c r="N1" s="3" t="s">
        <v>133</v>
      </c>
    </row>
    <row r="2" spans="1:14" x14ac:dyDescent="0.35">
      <c r="A2" s="1" t="s">
        <v>7</v>
      </c>
      <c r="B2" s="4" t="s">
        <v>8</v>
      </c>
      <c r="C2" s="4" t="s">
        <v>9</v>
      </c>
      <c r="D2" s="4" t="s">
        <v>10</v>
      </c>
      <c r="E2" s="4">
        <v>1.5</v>
      </c>
      <c r="F2" s="5">
        <v>44382</v>
      </c>
      <c r="G2" s="5">
        <v>45635</v>
      </c>
      <c r="H2" s="4">
        <v>113404</v>
      </c>
      <c r="I2" s="4">
        <v>117571</v>
      </c>
      <c r="J2" s="4">
        <v>-4167</v>
      </c>
      <c r="K2" s="4">
        <v>1</v>
      </c>
      <c r="L2" s="4">
        <v>0</v>
      </c>
      <c r="M2" s="4">
        <f>L2*25</f>
        <v>0</v>
      </c>
      <c r="N2" s="4">
        <v>0</v>
      </c>
    </row>
    <row r="3" spans="1:14" x14ac:dyDescent="0.35">
      <c r="A3" s="1" t="s">
        <v>7</v>
      </c>
      <c r="B3" s="4" t="s">
        <v>8</v>
      </c>
      <c r="C3" s="4" t="s">
        <v>9</v>
      </c>
      <c r="D3" s="4" t="s">
        <v>10</v>
      </c>
      <c r="E3" s="4" t="s">
        <v>11</v>
      </c>
      <c r="F3" s="5">
        <v>45505</v>
      </c>
      <c r="G3" s="5">
        <v>45804</v>
      </c>
      <c r="H3" s="4">
        <v>18244</v>
      </c>
      <c r="I3" s="4">
        <v>18170</v>
      </c>
      <c r="J3" s="4">
        <v>74</v>
      </c>
      <c r="K3" s="4">
        <v>1</v>
      </c>
      <c r="L3" s="4">
        <v>0</v>
      </c>
      <c r="M3" s="4">
        <f t="shared" ref="M3:M54" si="0">L3*25</f>
        <v>0</v>
      </c>
      <c r="N3" s="4">
        <v>0</v>
      </c>
    </row>
    <row r="4" spans="1:14" x14ac:dyDescent="0.35">
      <c r="A4" s="1" t="s">
        <v>12</v>
      </c>
      <c r="B4" s="4" t="s">
        <v>13</v>
      </c>
      <c r="C4" s="4" t="s">
        <v>14</v>
      </c>
      <c r="D4" s="4" t="s">
        <v>15</v>
      </c>
      <c r="E4" s="4" t="s">
        <v>16</v>
      </c>
      <c r="F4" s="5">
        <v>45383</v>
      </c>
      <c r="G4" s="5">
        <v>45473</v>
      </c>
      <c r="H4" s="4">
        <v>20160</v>
      </c>
      <c r="I4" s="4">
        <v>18867</v>
      </c>
      <c r="J4" s="4">
        <v>1293</v>
      </c>
      <c r="K4" s="4">
        <v>0.9</v>
      </c>
      <c r="L4" s="4">
        <v>2073</v>
      </c>
      <c r="M4" s="4">
        <f t="shared" si="0"/>
        <v>51825</v>
      </c>
      <c r="N4" s="4">
        <v>0</v>
      </c>
    </row>
    <row r="5" spans="1:14" x14ac:dyDescent="0.35">
      <c r="A5" s="1" t="s">
        <v>12</v>
      </c>
      <c r="B5" s="4" t="s">
        <v>13</v>
      </c>
      <c r="C5" s="4" t="s">
        <v>14</v>
      </c>
      <c r="D5" s="4" t="s">
        <v>15</v>
      </c>
      <c r="E5" s="4" t="s">
        <v>17</v>
      </c>
      <c r="F5" s="5">
        <v>45474</v>
      </c>
      <c r="G5" s="5">
        <v>45565</v>
      </c>
      <c r="H5" s="4">
        <v>21600</v>
      </c>
      <c r="I5" s="4">
        <v>21389</v>
      </c>
      <c r="J5" s="4">
        <v>211</v>
      </c>
      <c r="K5" s="4">
        <v>1</v>
      </c>
      <c r="L5" s="4">
        <v>2843</v>
      </c>
      <c r="M5" s="4">
        <f t="shared" si="0"/>
        <v>71075</v>
      </c>
      <c r="N5" s="4">
        <v>0</v>
      </c>
    </row>
    <row r="6" spans="1:14" x14ac:dyDescent="0.35">
      <c r="A6" s="1" t="s">
        <v>12</v>
      </c>
      <c r="B6" s="4" t="s">
        <v>13</v>
      </c>
      <c r="C6" s="4" t="s">
        <v>14</v>
      </c>
      <c r="D6" s="4" t="s">
        <v>15</v>
      </c>
      <c r="E6" s="4" t="s">
        <v>18</v>
      </c>
      <c r="F6" s="5">
        <v>45566</v>
      </c>
      <c r="G6" s="5">
        <v>45657</v>
      </c>
      <c r="H6" s="4">
        <v>17760</v>
      </c>
      <c r="I6" s="4">
        <v>16720</v>
      </c>
      <c r="J6" s="4">
        <v>1040</v>
      </c>
      <c r="K6" s="4">
        <v>0.9</v>
      </c>
      <c r="L6" s="4">
        <v>7063</v>
      </c>
      <c r="M6" s="4">
        <f t="shared" si="0"/>
        <v>176575</v>
      </c>
      <c r="N6" s="4">
        <v>0</v>
      </c>
    </row>
    <row r="7" spans="1:14" x14ac:dyDescent="0.35">
      <c r="A7" s="1" t="s">
        <v>12</v>
      </c>
      <c r="B7" s="4" t="s">
        <v>13</v>
      </c>
      <c r="C7" s="4" t="s">
        <v>14</v>
      </c>
      <c r="D7" s="4" t="s">
        <v>15</v>
      </c>
      <c r="E7" s="4" t="s">
        <v>19</v>
      </c>
      <c r="F7" s="5">
        <v>45658</v>
      </c>
      <c r="G7" s="5">
        <v>45747</v>
      </c>
      <c r="H7" s="4">
        <v>17280</v>
      </c>
      <c r="I7" s="4">
        <v>16444</v>
      </c>
      <c r="J7" s="4">
        <v>836</v>
      </c>
      <c r="K7" s="4">
        <v>1</v>
      </c>
      <c r="L7" s="4">
        <v>7563</v>
      </c>
      <c r="M7" s="4">
        <f t="shared" si="0"/>
        <v>189075</v>
      </c>
      <c r="N7" s="4">
        <v>0</v>
      </c>
    </row>
    <row r="8" spans="1:14" x14ac:dyDescent="0.35">
      <c r="A8" s="1" t="s">
        <v>20</v>
      </c>
      <c r="B8" s="4" t="s">
        <v>21</v>
      </c>
      <c r="C8" s="4" t="s">
        <v>22</v>
      </c>
      <c r="D8" s="4" t="s">
        <v>23</v>
      </c>
      <c r="E8" s="4">
        <v>2.4</v>
      </c>
      <c r="F8" s="5">
        <v>45323</v>
      </c>
      <c r="G8" s="5">
        <v>45863</v>
      </c>
      <c r="H8" s="4">
        <v>168960</v>
      </c>
      <c r="I8" s="4">
        <v>153410</v>
      </c>
      <c r="J8" s="4">
        <v>15550</v>
      </c>
      <c r="K8" s="4">
        <v>0.9</v>
      </c>
      <c r="L8" s="4">
        <v>488</v>
      </c>
      <c r="M8" s="4">
        <f t="shared" si="0"/>
        <v>12200</v>
      </c>
      <c r="N8" s="4">
        <v>150000</v>
      </c>
    </row>
    <row r="9" spans="1:14" x14ac:dyDescent="0.35">
      <c r="A9" s="1" t="s">
        <v>20</v>
      </c>
      <c r="B9" s="4" t="s">
        <v>24</v>
      </c>
      <c r="C9" s="4" t="s">
        <v>25</v>
      </c>
      <c r="D9" s="4" t="s">
        <v>26</v>
      </c>
      <c r="E9" s="4" t="s">
        <v>27</v>
      </c>
      <c r="F9" s="5">
        <v>45371</v>
      </c>
      <c r="G9" s="5">
        <v>45590</v>
      </c>
      <c r="H9" s="4">
        <v>1080</v>
      </c>
      <c r="I9" s="4">
        <v>1080</v>
      </c>
      <c r="J9" s="4">
        <v>0</v>
      </c>
      <c r="K9" s="4">
        <v>1</v>
      </c>
      <c r="L9" s="4">
        <v>0</v>
      </c>
      <c r="M9" s="4">
        <f t="shared" si="0"/>
        <v>0</v>
      </c>
      <c r="N9" s="4">
        <v>0</v>
      </c>
    </row>
    <row r="10" spans="1:14" x14ac:dyDescent="0.35">
      <c r="A10" s="1" t="s">
        <v>7</v>
      </c>
      <c r="B10" s="4" t="s">
        <v>28</v>
      </c>
      <c r="C10" s="4" t="s">
        <v>29</v>
      </c>
      <c r="D10" s="4" t="s">
        <v>30</v>
      </c>
      <c r="E10" s="4" t="s">
        <v>18</v>
      </c>
      <c r="F10" s="5">
        <v>45495</v>
      </c>
      <c r="G10" s="5">
        <v>45709</v>
      </c>
      <c r="H10" s="4">
        <v>5256</v>
      </c>
      <c r="I10" s="4">
        <v>4718</v>
      </c>
      <c r="J10" s="4">
        <v>538</v>
      </c>
      <c r="K10" s="4">
        <v>0.9</v>
      </c>
      <c r="L10" s="4">
        <v>500</v>
      </c>
      <c r="M10" s="4">
        <f t="shared" si="0"/>
        <v>12500</v>
      </c>
      <c r="N10" s="4">
        <v>0</v>
      </c>
    </row>
    <row r="11" spans="1:14" x14ac:dyDescent="0.35">
      <c r="A11" s="1" t="s">
        <v>20</v>
      </c>
      <c r="B11" s="4" t="s">
        <v>31</v>
      </c>
      <c r="C11" s="4" t="s">
        <v>25</v>
      </c>
      <c r="D11" s="4" t="s">
        <v>32</v>
      </c>
      <c r="E11" s="4" t="s">
        <v>33</v>
      </c>
      <c r="F11" s="5">
        <v>45719</v>
      </c>
      <c r="G11" s="5">
        <v>45772</v>
      </c>
      <c r="H11" s="4">
        <v>714</v>
      </c>
      <c r="I11" s="4">
        <v>714</v>
      </c>
      <c r="J11" s="4">
        <v>0</v>
      </c>
      <c r="K11" s="4">
        <v>1</v>
      </c>
      <c r="L11" s="4">
        <v>0</v>
      </c>
      <c r="M11" s="4">
        <f t="shared" si="0"/>
        <v>0</v>
      </c>
      <c r="N11" s="4">
        <v>0</v>
      </c>
    </row>
    <row r="12" spans="1:14" x14ac:dyDescent="0.35">
      <c r="A12" s="1" t="s">
        <v>7</v>
      </c>
      <c r="B12" s="4" t="s">
        <v>34</v>
      </c>
      <c r="C12" s="4" t="s">
        <v>35</v>
      </c>
      <c r="D12" s="4" t="s">
        <v>36</v>
      </c>
      <c r="E12" s="4" t="s">
        <v>37</v>
      </c>
      <c r="F12" s="5">
        <v>45383</v>
      </c>
      <c r="G12" s="5">
        <v>45666</v>
      </c>
      <c r="H12" s="4">
        <v>45824</v>
      </c>
      <c r="I12" s="4">
        <v>41961</v>
      </c>
      <c r="J12" s="4">
        <v>3863</v>
      </c>
      <c r="K12" s="4">
        <v>0.9</v>
      </c>
      <c r="L12" s="4">
        <v>3095.55</v>
      </c>
      <c r="M12" s="4">
        <f t="shared" si="0"/>
        <v>77388.75</v>
      </c>
      <c r="N12" s="4">
        <v>0</v>
      </c>
    </row>
    <row r="13" spans="1:14" x14ac:dyDescent="0.35">
      <c r="A13" s="1" t="s">
        <v>7</v>
      </c>
      <c r="B13" s="4" t="s">
        <v>34</v>
      </c>
      <c r="C13" s="4" t="s">
        <v>35</v>
      </c>
      <c r="D13" s="4" t="s">
        <v>36</v>
      </c>
      <c r="E13" s="4" t="s">
        <v>38</v>
      </c>
      <c r="F13" s="5">
        <v>45667</v>
      </c>
      <c r="G13" s="5">
        <v>45786</v>
      </c>
      <c r="H13" s="4">
        <v>37131</v>
      </c>
      <c r="I13" s="4">
        <v>38998</v>
      </c>
      <c r="J13" s="4">
        <v>-1867</v>
      </c>
      <c r="K13" s="4">
        <v>1.1000000000000001</v>
      </c>
      <c r="L13" s="4">
        <v>3619.21</v>
      </c>
      <c r="M13" s="4">
        <f t="shared" si="0"/>
        <v>90480.25</v>
      </c>
      <c r="N13" s="4">
        <v>0</v>
      </c>
    </row>
    <row r="14" spans="1:14" x14ac:dyDescent="0.35">
      <c r="A14" s="1" t="s">
        <v>39</v>
      </c>
      <c r="B14" s="4" t="s">
        <v>40</v>
      </c>
      <c r="C14" s="4" t="s">
        <v>41</v>
      </c>
      <c r="D14" s="4" t="s">
        <v>42</v>
      </c>
      <c r="E14" s="4" t="s">
        <v>43</v>
      </c>
      <c r="F14" s="5">
        <v>45301</v>
      </c>
      <c r="G14" s="5">
        <v>45464</v>
      </c>
      <c r="H14" s="4">
        <v>10788</v>
      </c>
      <c r="I14" s="4">
        <v>10216</v>
      </c>
      <c r="J14" s="4">
        <v>572</v>
      </c>
      <c r="K14" s="4">
        <v>0.9</v>
      </c>
      <c r="L14" s="4">
        <v>512</v>
      </c>
      <c r="M14" s="4">
        <f t="shared" si="0"/>
        <v>12800</v>
      </c>
      <c r="N14" s="4">
        <v>0</v>
      </c>
    </row>
    <row r="15" spans="1:14" x14ac:dyDescent="0.35">
      <c r="A15" s="1" t="s">
        <v>39</v>
      </c>
      <c r="B15" s="4" t="s">
        <v>40</v>
      </c>
      <c r="C15" s="4" t="s">
        <v>41</v>
      </c>
      <c r="D15" s="4" t="s">
        <v>42</v>
      </c>
      <c r="E15" s="4" t="s">
        <v>44</v>
      </c>
      <c r="F15" s="5">
        <v>45467</v>
      </c>
      <c r="G15" s="5">
        <v>45702</v>
      </c>
      <c r="H15" s="4">
        <v>13440</v>
      </c>
      <c r="I15" s="4">
        <v>11520</v>
      </c>
      <c r="J15" s="4">
        <v>1920</v>
      </c>
      <c r="K15" s="4">
        <v>0.9</v>
      </c>
      <c r="L15" s="4">
        <v>1920</v>
      </c>
      <c r="M15" s="4">
        <f t="shared" si="0"/>
        <v>48000</v>
      </c>
      <c r="N15" s="4">
        <v>0</v>
      </c>
    </row>
    <row r="16" spans="1:14" x14ac:dyDescent="0.35">
      <c r="A16" s="1" t="s">
        <v>45</v>
      </c>
      <c r="B16" s="4" t="s">
        <v>46</v>
      </c>
      <c r="C16" s="4" t="s">
        <v>47</v>
      </c>
      <c r="D16" s="4" t="s">
        <v>48</v>
      </c>
      <c r="E16" s="4" t="s">
        <v>49</v>
      </c>
      <c r="F16" s="5">
        <v>45658</v>
      </c>
      <c r="G16" s="5">
        <v>45737</v>
      </c>
      <c r="H16" s="4">
        <v>5431</v>
      </c>
      <c r="I16" s="4">
        <v>5261</v>
      </c>
      <c r="J16" s="4">
        <v>170</v>
      </c>
      <c r="K16" s="4">
        <v>1</v>
      </c>
      <c r="L16" s="4">
        <v>170</v>
      </c>
      <c r="M16" s="4">
        <f t="shared" si="0"/>
        <v>4250</v>
      </c>
      <c r="N16" s="4">
        <v>0</v>
      </c>
    </row>
    <row r="17" spans="1:14" x14ac:dyDescent="0.35">
      <c r="A17" s="1" t="s">
        <v>45</v>
      </c>
      <c r="B17" s="4" t="s">
        <v>46</v>
      </c>
      <c r="C17" s="4" t="s">
        <v>47</v>
      </c>
      <c r="D17" s="4" t="s">
        <v>50</v>
      </c>
      <c r="E17" s="4" t="s">
        <v>51</v>
      </c>
      <c r="F17" s="5">
        <v>45680</v>
      </c>
      <c r="G17" s="5">
        <v>45775</v>
      </c>
      <c r="H17" s="4">
        <v>6659</v>
      </c>
      <c r="I17" s="4">
        <v>5950</v>
      </c>
      <c r="J17" s="4">
        <v>709</v>
      </c>
      <c r="K17" s="4">
        <v>0.9</v>
      </c>
      <c r="L17" s="4">
        <v>500</v>
      </c>
      <c r="M17" s="4">
        <f t="shared" si="0"/>
        <v>12500</v>
      </c>
      <c r="N17" s="4">
        <v>0</v>
      </c>
    </row>
    <row r="18" spans="1:14" x14ac:dyDescent="0.35">
      <c r="A18" s="1" t="s">
        <v>45</v>
      </c>
      <c r="B18" s="4" t="s">
        <v>46</v>
      </c>
      <c r="C18" s="4" t="s">
        <v>47</v>
      </c>
      <c r="D18" s="4" t="s">
        <v>48</v>
      </c>
      <c r="E18" s="4" t="s">
        <v>52</v>
      </c>
      <c r="F18" s="5">
        <v>45485</v>
      </c>
      <c r="G18" s="5">
        <v>45631</v>
      </c>
      <c r="H18" s="4">
        <v>3970</v>
      </c>
      <c r="I18" s="4">
        <v>3485</v>
      </c>
      <c r="J18" s="4">
        <v>485</v>
      </c>
      <c r="K18" s="4">
        <v>0.9</v>
      </c>
      <c r="L18" s="4">
        <v>485</v>
      </c>
      <c r="M18" s="4">
        <f t="shared" si="0"/>
        <v>12125</v>
      </c>
      <c r="N18" s="4">
        <v>0</v>
      </c>
    </row>
    <row r="19" spans="1:14" x14ac:dyDescent="0.35">
      <c r="A19" s="1" t="s">
        <v>45</v>
      </c>
      <c r="B19" s="4" t="s">
        <v>46</v>
      </c>
      <c r="C19" s="4" t="s">
        <v>47</v>
      </c>
      <c r="D19" s="4" t="s">
        <v>48</v>
      </c>
      <c r="E19" s="4" t="s">
        <v>53</v>
      </c>
      <c r="F19" s="5">
        <v>45695</v>
      </c>
      <c r="G19" s="5">
        <v>45838</v>
      </c>
      <c r="H19" s="4">
        <v>3043</v>
      </c>
      <c r="I19" s="4">
        <v>3028</v>
      </c>
      <c r="J19" s="4">
        <v>15</v>
      </c>
      <c r="K19" s="4">
        <v>1</v>
      </c>
      <c r="L19" s="4">
        <v>100</v>
      </c>
      <c r="M19" s="4">
        <f t="shared" si="0"/>
        <v>2500</v>
      </c>
      <c r="N19" s="4">
        <v>0</v>
      </c>
    </row>
    <row r="20" spans="1:14" x14ac:dyDescent="0.35">
      <c r="A20" s="1" t="s">
        <v>45</v>
      </c>
      <c r="B20" s="4" t="s">
        <v>46</v>
      </c>
      <c r="C20" s="4" t="s">
        <v>47</v>
      </c>
      <c r="D20" s="4" t="s">
        <v>54</v>
      </c>
      <c r="E20" s="4" t="s">
        <v>55</v>
      </c>
      <c r="F20" s="5">
        <v>45377</v>
      </c>
      <c r="G20" s="5">
        <v>45478</v>
      </c>
      <c r="H20" s="4">
        <v>10837</v>
      </c>
      <c r="I20" s="4">
        <v>10388</v>
      </c>
      <c r="J20" s="4">
        <v>449</v>
      </c>
      <c r="K20" s="4">
        <v>1</v>
      </c>
      <c r="L20" s="4">
        <v>400</v>
      </c>
      <c r="M20" s="4">
        <f t="shared" si="0"/>
        <v>10000</v>
      </c>
      <c r="N20" s="4">
        <v>0</v>
      </c>
    </row>
    <row r="21" spans="1:14" x14ac:dyDescent="0.35">
      <c r="A21" s="1" t="s">
        <v>56</v>
      </c>
      <c r="B21" s="4" t="s">
        <v>57</v>
      </c>
      <c r="C21" s="4" t="s">
        <v>58</v>
      </c>
      <c r="D21" s="4" t="s">
        <v>59</v>
      </c>
      <c r="E21" s="4" t="s">
        <v>60</v>
      </c>
      <c r="F21" s="5">
        <v>45387</v>
      </c>
      <c r="G21" s="5">
        <v>45735</v>
      </c>
      <c r="H21" s="4">
        <v>103480</v>
      </c>
      <c r="I21" s="4">
        <v>102174</v>
      </c>
      <c r="J21" s="4">
        <v>1306</v>
      </c>
      <c r="K21" s="4">
        <v>1</v>
      </c>
      <c r="L21" s="4">
        <v>2100</v>
      </c>
      <c r="M21" s="4">
        <f t="shared" si="0"/>
        <v>52500</v>
      </c>
      <c r="N21" s="4">
        <v>0</v>
      </c>
    </row>
    <row r="22" spans="1:14" x14ac:dyDescent="0.35">
      <c r="A22" s="1" t="s">
        <v>56</v>
      </c>
      <c r="B22" s="4" t="s">
        <v>61</v>
      </c>
      <c r="C22" s="4" t="s">
        <v>58</v>
      </c>
      <c r="D22" s="4" t="s">
        <v>62</v>
      </c>
      <c r="E22" s="4" t="s">
        <v>63</v>
      </c>
      <c r="F22" s="5">
        <v>45444</v>
      </c>
      <c r="G22" s="5">
        <v>45626</v>
      </c>
      <c r="H22" s="4">
        <v>36720</v>
      </c>
      <c r="I22" s="4">
        <v>34872</v>
      </c>
      <c r="J22" s="4">
        <v>1848</v>
      </c>
      <c r="K22" s="4">
        <v>0.9</v>
      </c>
      <c r="L22" s="4">
        <v>900</v>
      </c>
      <c r="M22" s="4">
        <f t="shared" si="0"/>
        <v>22500</v>
      </c>
      <c r="N22" s="4">
        <v>0</v>
      </c>
    </row>
    <row r="23" spans="1:14" x14ac:dyDescent="0.35">
      <c r="A23" s="1" t="s">
        <v>56</v>
      </c>
      <c r="B23" s="4" t="s">
        <v>64</v>
      </c>
      <c r="C23" s="4" t="s">
        <v>58</v>
      </c>
      <c r="D23" s="4" t="s">
        <v>62</v>
      </c>
      <c r="E23" s="4" t="s">
        <v>65</v>
      </c>
      <c r="F23" s="5">
        <v>45250</v>
      </c>
      <c r="G23" s="5">
        <v>45551</v>
      </c>
      <c r="H23" s="4">
        <v>36720</v>
      </c>
      <c r="I23" s="4">
        <v>36202</v>
      </c>
      <c r="J23" s="4">
        <v>518</v>
      </c>
      <c r="K23" s="4">
        <v>1</v>
      </c>
      <c r="L23" s="4">
        <v>800</v>
      </c>
      <c r="M23" s="4">
        <f t="shared" si="0"/>
        <v>20000</v>
      </c>
      <c r="N23" s="4">
        <v>0</v>
      </c>
    </row>
    <row r="24" spans="1:14" x14ac:dyDescent="0.35">
      <c r="A24" s="1" t="s">
        <v>56</v>
      </c>
      <c r="B24" s="4" t="s">
        <v>66</v>
      </c>
      <c r="C24" s="4" t="s">
        <v>58</v>
      </c>
      <c r="D24" s="4" t="s">
        <v>62</v>
      </c>
      <c r="E24" s="4" t="s">
        <v>67</v>
      </c>
      <c r="F24" s="5">
        <v>45615</v>
      </c>
      <c r="G24" s="5">
        <v>45807</v>
      </c>
      <c r="H24" s="4">
        <v>19000</v>
      </c>
      <c r="I24" s="4">
        <v>18347</v>
      </c>
      <c r="J24" s="4">
        <v>653</v>
      </c>
      <c r="K24" s="4">
        <v>1</v>
      </c>
      <c r="L24" s="4">
        <v>0</v>
      </c>
      <c r="M24" s="4">
        <f t="shared" si="0"/>
        <v>0</v>
      </c>
      <c r="N24" s="4">
        <v>0</v>
      </c>
    </row>
    <row r="25" spans="1:14" x14ac:dyDescent="0.35">
      <c r="A25" s="1" t="s">
        <v>56</v>
      </c>
      <c r="B25" s="4" t="s">
        <v>68</v>
      </c>
      <c r="C25" s="4" t="s">
        <v>58</v>
      </c>
      <c r="D25" s="4" t="s">
        <v>59</v>
      </c>
      <c r="E25" s="4" t="s">
        <v>69</v>
      </c>
      <c r="F25" s="5">
        <v>45279</v>
      </c>
      <c r="G25" s="5">
        <v>45639</v>
      </c>
      <c r="H25" s="4">
        <v>17200</v>
      </c>
      <c r="I25" s="4">
        <v>17400</v>
      </c>
      <c r="J25" s="4">
        <v>-200</v>
      </c>
      <c r="K25" s="4">
        <v>1</v>
      </c>
      <c r="L25" s="4">
        <v>0</v>
      </c>
      <c r="M25" s="4">
        <f t="shared" si="0"/>
        <v>0</v>
      </c>
      <c r="N25" s="4">
        <v>0</v>
      </c>
    </row>
    <row r="26" spans="1:14" x14ac:dyDescent="0.35">
      <c r="A26" s="1" t="s">
        <v>56</v>
      </c>
      <c r="B26" s="4" t="s">
        <v>70</v>
      </c>
      <c r="C26" s="4" t="s">
        <v>71</v>
      </c>
      <c r="D26" s="4" t="s">
        <v>72</v>
      </c>
      <c r="E26" s="4" t="s">
        <v>73</v>
      </c>
      <c r="F26" s="5">
        <v>45383</v>
      </c>
      <c r="G26" s="5">
        <v>45717</v>
      </c>
      <c r="H26" s="4">
        <v>48222</v>
      </c>
      <c r="I26" s="4">
        <v>43953</v>
      </c>
      <c r="J26" s="4">
        <v>4269</v>
      </c>
      <c r="K26" s="4">
        <v>0.9</v>
      </c>
      <c r="L26" s="4">
        <v>3900</v>
      </c>
      <c r="M26" s="4">
        <f t="shared" si="0"/>
        <v>97500</v>
      </c>
      <c r="N26" s="4">
        <v>0</v>
      </c>
    </row>
    <row r="27" spans="1:14" x14ac:dyDescent="0.35">
      <c r="A27" s="1" t="s">
        <v>56</v>
      </c>
      <c r="B27" s="4" t="s">
        <v>70</v>
      </c>
      <c r="C27" s="4" t="s">
        <v>71</v>
      </c>
      <c r="D27" s="4" t="s">
        <v>72</v>
      </c>
      <c r="E27" s="4" t="s">
        <v>74</v>
      </c>
      <c r="F27" s="5">
        <v>45017</v>
      </c>
      <c r="G27" s="5">
        <v>45352</v>
      </c>
      <c r="H27" s="4">
        <v>43494</v>
      </c>
      <c r="I27" s="4">
        <v>41584</v>
      </c>
      <c r="J27" s="4">
        <v>1910</v>
      </c>
      <c r="K27" s="4">
        <v>1</v>
      </c>
      <c r="L27" s="4">
        <v>2700</v>
      </c>
      <c r="M27" s="4">
        <f t="shared" si="0"/>
        <v>67500</v>
      </c>
      <c r="N27" s="4">
        <v>0</v>
      </c>
    </row>
    <row r="28" spans="1:14" x14ac:dyDescent="0.35">
      <c r="A28" s="1" t="s">
        <v>56</v>
      </c>
      <c r="B28" s="4" t="s">
        <v>70</v>
      </c>
      <c r="C28" s="4" t="s">
        <v>71</v>
      </c>
      <c r="D28" s="4" t="s">
        <v>72</v>
      </c>
      <c r="E28" s="4" t="s">
        <v>74</v>
      </c>
      <c r="F28" s="5">
        <v>44652</v>
      </c>
      <c r="G28" s="5">
        <v>44986</v>
      </c>
      <c r="H28" s="4">
        <v>37882</v>
      </c>
      <c r="I28" s="4">
        <v>35182.800000000003</v>
      </c>
      <c r="J28" s="4">
        <v>2699.2</v>
      </c>
      <c r="K28" s="4">
        <v>0.9</v>
      </c>
      <c r="L28" s="4">
        <v>1350</v>
      </c>
      <c r="M28" s="4">
        <f t="shared" si="0"/>
        <v>33750</v>
      </c>
      <c r="N28" s="4">
        <v>0</v>
      </c>
    </row>
    <row r="29" spans="1:14" x14ac:dyDescent="0.35">
      <c r="A29" s="1" t="s">
        <v>7</v>
      </c>
      <c r="B29" s="4" t="s">
        <v>75</v>
      </c>
      <c r="C29" s="4" t="s">
        <v>76</v>
      </c>
      <c r="D29" s="4" t="s">
        <v>77</v>
      </c>
      <c r="E29" s="4" t="s">
        <v>78</v>
      </c>
      <c r="F29" s="5">
        <v>45017</v>
      </c>
      <c r="G29" s="5">
        <v>45382</v>
      </c>
      <c r="H29" s="4">
        <v>34842</v>
      </c>
      <c r="I29" s="4">
        <v>33188</v>
      </c>
      <c r="J29" s="4">
        <v>1654</v>
      </c>
      <c r="K29" s="4">
        <v>1</v>
      </c>
      <c r="L29" s="4">
        <v>808</v>
      </c>
      <c r="M29" s="4">
        <f t="shared" si="0"/>
        <v>20200</v>
      </c>
      <c r="N29" s="4">
        <v>0</v>
      </c>
    </row>
    <row r="30" spans="1:14" x14ac:dyDescent="0.35">
      <c r="A30" s="1" t="s">
        <v>7</v>
      </c>
      <c r="B30" s="4" t="s">
        <v>75</v>
      </c>
      <c r="C30" s="4" t="s">
        <v>76</v>
      </c>
      <c r="D30" s="4" t="s">
        <v>77</v>
      </c>
      <c r="E30" s="4" t="s">
        <v>79</v>
      </c>
      <c r="F30" s="5">
        <v>45444</v>
      </c>
      <c r="G30" s="5">
        <v>45814</v>
      </c>
      <c r="H30" s="4">
        <v>3718</v>
      </c>
      <c r="I30" s="4">
        <v>3391</v>
      </c>
      <c r="J30" s="4">
        <v>327</v>
      </c>
      <c r="K30" s="4">
        <v>0.9</v>
      </c>
      <c r="L30" s="4">
        <v>190</v>
      </c>
      <c r="M30" s="4">
        <f t="shared" si="0"/>
        <v>4750</v>
      </c>
      <c r="N30" s="4">
        <v>0</v>
      </c>
    </row>
    <row r="31" spans="1:14" x14ac:dyDescent="0.35">
      <c r="A31" s="1" t="s">
        <v>7</v>
      </c>
      <c r="B31" s="4" t="s">
        <v>75</v>
      </c>
      <c r="C31" s="4" t="s">
        <v>76</v>
      </c>
      <c r="D31" s="4" t="s">
        <v>77</v>
      </c>
      <c r="E31" s="4" t="s">
        <v>80</v>
      </c>
      <c r="F31" s="5">
        <v>45383</v>
      </c>
      <c r="G31" s="5">
        <v>45747</v>
      </c>
      <c r="H31" s="4">
        <v>29096</v>
      </c>
      <c r="I31" s="4">
        <v>28483</v>
      </c>
      <c r="J31" s="4">
        <v>613</v>
      </c>
      <c r="K31" s="4">
        <v>1</v>
      </c>
      <c r="L31" s="4">
        <v>360</v>
      </c>
      <c r="M31" s="4">
        <f t="shared" si="0"/>
        <v>9000</v>
      </c>
      <c r="N31" s="4">
        <v>0</v>
      </c>
    </row>
    <row r="32" spans="1:14" x14ac:dyDescent="0.35">
      <c r="A32" s="1" t="s">
        <v>56</v>
      </c>
      <c r="B32" s="4" t="s">
        <v>66</v>
      </c>
      <c r="C32" s="4" t="s">
        <v>58</v>
      </c>
      <c r="D32" s="4" t="s">
        <v>62</v>
      </c>
      <c r="E32" s="4" t="s">
        <v>81</v>
      </c>
      <c r="F32" s="5">
        <v>45811</v>
      </c>
      <c r="G32" s="5">
        <v>45925</v>
      </c>
      <c r="H32" s="4">
        <v>6800</v>
      </c>
      <c r="I32" s="4">
        <v>7098</v>
      </c>
      <c r="J32" s="4">
        <v>-298</v>
      </c>
      <c r="K32" s="4">
        <v>1</v>
      </c>
      <c r="L32" s="4">
        <v>0</v>
      </c>
      <c r="M32" s="4">
        <f t="shared" si="0"/>
        <v>0</v>
      </c>
      <c r="N32" s="4">
        <v>0</v>
      </c>
    </row>
    <row r="33" spans="1:14" x14ac:dyDescent="0.35">
      <c r="A33" s="1" t="s">
        <v>56</v>
      </c>
      <c r="B33" s="4" t="s">
        <v>82</v>
      </c>
      <c r="C33" s="4" t="s">
        <v>58</v>
      </c>
      <c r="D33" s="4" t="s">
        <v>59</v>
      </c>
      <c r="E33" s="4" t="s">
        <v>60</v>
      </c>
      <c r="F33" s="5">
        <v>45748</v>
      </c>
      <c r="G33" s="5">
        <v>46031</v>
      </c>
      <c r="H33" s="4">
        <v>84250</v>
      </c>
      <c r="I33" s="4">
        <v>82200</v>
      </c>
      <c r="J33" s="4">
        <v>2050</v>
      </c>
      <c r="K33" s="4">
        <v>1</v>
      </c>
      <c r="L33" s="4">
        <v>1600</v>
      </c>
      <c r="M33" s="4">
        <f t="shared" si="0"/>
        <v>40000</v>
      </c>
      <c r="N33" s="4">
        <v>0</v>
      </c>
    </row>
    <row r="34" spans="1:14" x14ac:dyDescent="0.35">
      <c r="A34" s="1" t="s">
        <v>56</v>
      </c>
      <c r="B34" s="4" t="s">
        <v>61</v>
      </c>
      <c r="C34" s="4" t="s">
        <v>58</v>
      </c>
      <c r="D34" s="4" t="s">
        <v>62</v>
      </c>
      <c r="E34" s="4" t="s">
        <v>83</v>
      </c>
      <c r="F34" s="5">
        <v>45636</v>
      </c>
      <c r="G34" s="5">
        <v>45947</v>
      </c>
      <c r="H34" s="4">
        <v>16900</v>
      </c>
      <c r="I34" s="4">
        <v>16684.5</v>
      </c>
      <c r="J34" s="4">
        <v>215.5</v>
      </c>
      <c r="K34" s="4">
        <v>1</v>
      </c>
      <c r="L34" s="4">
        <v>0</v>
      </c>
      <c r="M34" s="4">
        <f t="shared" si="0"/>
        <v>0</v>
      </c>
      <c r="N34" s="4">
        <v>0</v>
      </c>
    </row>
    <row r="35" spans="1:14" x14ac:dyDescent="0.35">
      <c r="A35" s="1" t="s">
        <v>56</v>
      </c>
      <c r="B35" s="4" t="s">
        <v>64</v>
      </c>
      <c r="C35" s="4" t="s">
        <v>58</v>
      </c>
      <c r="D35" s="4" t="s">
        <v>62</v>
      </c>
      <c r="E35" s="4" t="s">
        <v>84</v>
      </c>
      <c r="F35" s="5">
        <v>45558</v>
      </c>
      <c r="G35" s="5">
        <v>45868</v>
      </c>
      <c r="H35" s="4">
        <v>25100</v>
      </c>
      <c r="I35" s="4">
        <v>25086</v>
      </c>
      <c r="J35" s="4">
        <v>14</v>
      </c>
      <c r="K35" s="4">
        <v>1</v>
      </c>
      <c r="L35" s="4">
        <v>0</v>
      </c>
      <c r="M35" s="4">
        <f t="shared" si="0"/>
        <v>0</v>
      </c>
      <c r="N35" s="4">
        <v>0</v>
      </c>
    </row>
    <row r="36" spans="1:14" x14ac:dyDescent="0.35">
      <c r="A36" s="1" t="s">
        <v>12</v>
      </c>
      <c r="B36" s="4" t="s">
        <v>13</v>
      </c>
      <c r="C36" s="4" t="s">
        <v>14</v>
      </c>
      <c r="D36" s="4" t="s">
        <v>15</v>
      </c>
      <c r="E36" s="4" t="s">
        <v>85</v>
      </c>
      <c r="F36" s="5">
        <v>45748</v>
      </c>
      <c r="G36" s="5">
        <v>45838</v>
      </c>
      <c r="H36" s="4">
        <v>19614</v>
      </c>
      <c r="I36" s="4">
        <v>17326</v>
      </c>
      <c r="J36" s="4">
        <v>2288</v>
      </c>
      <c r="K36" s="4">
        <v>0.9</v>
      </c>
      <c r="L36" s="4">
        <v>7573</v>
      </c>
      <c r="M36" s="4">
        <f t="shared" si="0"/>
        <v>189325</v>
      </c>
      <c r="N36" s="4">
        <v>0</v>
      </c>
    </row>
    <row r="37" spans="1:14" x14ac:dyDescent="0.35">
      <c r="A37" s="1" t="s">
        <v>12</v>
      </c>
      <c r="B37" s="4" t="s">
        <v>13</v>
      </c>
      <c r="C37" s="4" t="s">
        <v>14</v>
      </c>
      <c r="D37" s="4" t="s">
        <v>15</v>
      </c>
      <c r="E37" s="4" t="s">
        <v>86</v>
      </c>
      <c r="F37" s="5">
        <v>45839</v>
      </c>
      <c r="G37" s="5">
        <v>45930</v>
      </c>
      <c r="H37" s="4">
        <v>18050</v>
      </c>
      <c r="I37" s="4">
        <v>16059</v>
      </c>
      <c r="J37" s="4">
        <v>18050</v>
      </c>
      <c r="K37" s="4">
        <v>0</v>
      </c>
      <c r="L37" s="4">
        <v>7573</v>
      </c>
      <c r="M37" s="4">
        <f t="shared" si="0"/>
        <v>189325</v>
      </c>
      <c r="N37" s="4">
        <v>0</v>
      </c>
    </row>
    <row r="38" spans="1:14" x14ac:dyDescent="0.35">
      <c r="A38" s="1" t="s">
        <v>12</v>
      </c>
      <c r="B38" s="4" t="s">
        <v>13</v>
      </c>
      <c r="C38" s="4" t="s">
        <v>14</v>
      </c>
      <c r="D38" s="4" t="s">
        <v>15</v>
      </c>
      <c r="E38" s="4" t="s">
        <v>87</v>
      </c>
      <c r="F38" s="5">
        <v>45931</v>
      </c>
      <c r="G38" s="5">
        <v>46022</v>
      </c>
      <c r="H38" s="4">
        <v>17480</v>
      </c>
      <c r="I38" s="4"/>
      <c r="J38" s="4">
        <v>18050</v>
      </c>
      <c r="K38" s="4">
        <v>0</v>
      </c>
      <c r="L38" s="4">
        <v>7573</v>
      </c>
      <c r="M38" s="4">
        <f t="shared" si="0"/>
        <v>189325</v>
      </c>
      <c r="N38" s="4">
        <v>0</v>
      </c>
    </row>
    <row r="39" spans="1:14" x14ac:dyDescent="0.35">
      <c r="A39" s="1" t="s">
        <v>7</v>
      </c>
      <c r="B39" s="4" t="s">
        <v>34</v>
      </c>
      <c r="C39" s="4" t="s">
        <v>35</v>
      </c>
      <c r="D39" s="4" t="s">
        <v>36</v>
      </c>
      <c r="E39" s="4" t="s">
        <v>38</v>
      </c>
      <c r="F39" s="5">
        <v>45787</v>
      </c>
      <c r="G39" s="5">
        <v>46022</v>
      </c>
      <c r="H39" s="4">
        <v>60711</v>
      </c>
      <c r="I39" s="4">
        <v>58763.7</v>
      </c>
      <c r="J39" s="4">
        <v>1947.3</v>
      </c>
      <c r="K39" s="4">
        <v>1</v>
      </c>
      <c r="L39" s="4">
        <v>4070.95</v>
      </c>
      <c r="M39" s="4">
        <f t="shared" si="0"/>
        <v>101773.75</v>
      </c>
      <c r="N39" s="4">
        <v>0</v>
      </c>
    </row>
    <row r="40" spans="1:14" x14ac:dyDescent="0.35">
      <c r="A40" s="1" t="s">
        <v>20</v>
      </c>
      <c r="B40" s="4" t="s">
        <v>21</v>
      </c>
      <c r="C40" s="4" t="s">
        <v>88</v>
      </c>
      <c r="D40" s="4" t="s">
        <v>23</v>
      </c>
      <c r="E40" s="4" t="s">
        <v>89</v>
      </c>
      <c r="F40" s="5">
        <v>45839</v>
      </c>
      <c r="G40" s="5">
        <v>46007</v>
      </c>
      <c r="H40" s="4">
        <v>37416</v>
      </c>
      <c r="I40" s="4">
        <v>39006</v>
      </c>
      <c r="J40" s="4">
        <v>-1590</v>
      </c>
      <c r="K40" s="4">
        <v>1</v>
      </c>
      <c r="L40" s="4">
        <v>282</v>
      </c>
      <c r="M40" s="4">
        <f t="shared" si="0"/>
        <v>7050</v>
      </c>
      <c r="N40" s="4">
        <v>0</v>
      </c>
    </row>
    <row r="41" spans="1:14" x14ac:dyDescent="0.35">
      <c r="A41" s="1" t="s">
        <v>90</v>
      </c>
      <c r="B41" s="4" t="s">
        <v>91</v>
      </c>
      <c r="C41" s="4" t="s">
        <v>92</v>
      </c>
      <c r="D41" s="4" t="s">
        <v>93</v>
      </c>
      <c r="E41" s="4" t="s">
        <v>94</v>
      </c>
      <c r="F41" s="5">
        <v>45931</v>
      </c>
      <c r="G41" s="5">
        <v>46010</v>
      </c>
      <c r="H41" s="4">
        <v>958</v>
      </c>
      <c r="I41" s="4">
        <v>958</v>
      </c>
      <c r="J41" s="4">
        <v>0</v>
      </c>
      <c r="K41" s="4">
        <v>1</v>
      </c>
      <c r="L41" s="4">
        <v>0</v>
      </c>
      <c r="M41" s="4">
        <f t="shared" si="0"/>
        <v>0</v>
      </c>
      <c r="N41" s="4">
        <v>0</v>
      </c>
    </row>
    <row r="42" spans="1:14" x14ac:dyDescent="0.35">
      <c r="A42" s="1" t="s">
        <v>90</v>
      </c>
      <c r="B42" s="4" t="s">
        <v>95</v>
      </c>
      <c r="C42" s="4" t="s">
        <v>92</v>
      </c>
      <c r="D42" s="4"/>
      <c r="E42" s="4" t="s">
        <v>96</v>
      </c>
      <c r="F42" s="5">
        <v>45971</v>
      </c>
      <c r="G42" s="5">
        <v>46017</v>
      </c>
      <c r="H42" s="4">
        <v>663</v>
      </c>
      <c r="I42" s="4">
        <v>663</v>
      </c>
      <c r="J42" s="4">
        <v>0</v>
      </c>
      <c r="K42" s="4">
        <v>1</v>
      </c>
      <c r="L42" s="4">
        <v>0</v>
      </c>
      <c r="M42" s="4">
        <f t="shared" si="0"/>
        <v>0</v>
      </c>
      <c r="N42" s="4">
        <v>0</v>
      </c>
    </row>
    <row r="43" spans="1:14" x14ac:dyDescent="0.35">
      <c r="A43" s="1" t="s">
        <v>90</v>
      </c>
      <c r="B43" s="4" t="s">
        <v>97</v>
      </c>
      <c r="C43" s="4" t="s">
        <v>98</v>
      </c>
      <c r="D43" s="4" t="s">
        <v>32</v>
      </c>
      <c r="E43" s="4" t="s">
        <v>99</v>
      </c>
      <c r="F43" s="5">
        <v>45854</v>
      </c>
      <c r="G43" s="5">
        <v>45923</v>
      </c>
      <c r="H43" s="4">
        <v>4000</v>
      </c>
      <c r="I43" s="4">
        <v>3950</v>
      </c>
      <c r="J43" s="4">
        <v>50</v>
      </c>
      <c r="K43" s="4">
        <v>1</v>
      </c>
      <c r="L43" s="4">
        <v>50</v>
      </c>
      <c r="M43" s="4">
        <f t="shared" si="0"/>
        <v>1250</v>
      </c>
      <c r="N43" s="4">
        <v>0</v>
      </c>
    </row>
    <row r="44" spans="1:14" x14ac:dyDescent="0.35">
      <c r="A44" s="1" t="s">
        <v>90</v>
      </c>
      <c r="B44" s="4" t="s">
        <v>100</v>
      </c>
      <c r="C44" s="4" t="s">
        <v>101</v>
      </c>
      <c r="D44" s="4" t="s">
        <v>102</v>
      </c>
      <c r="E44" s="4" t="s">
        <v>103</v>
      </c>
      <c r="F44" s="5">
        <v>45817</v>
      </c>
      <c r="G44" s="5">
        <v>45863</v>
      </c>
      <c r="H44" s="4">
        <v>161</v>
      </c>
      <c r="I44" s="4">
        <v>161</v>
      </c>
      <c r="J44" s="4">
        <v>0</v>
      </c>
      <c r="K44" s="4">
        <v>1</v>
      </c>
      <c r="L44" s="4">
        <v>0</v>
      </c>
      <c r="M44" s="4">
        <f t="shared" si="0"/>
        <v>0</v>
      </c>
      <c r="N44" s="4">
        <v>0</v>
      </c>
    </row>
    <row r="45" spans="1:14" x14ac:dyDescent="0.35">
      <c r="A45" s="1" t="s">
        <v>90</v>
      </c>
      <c r="B45" s="4" t="s">
        <v>100</v>
      </c>
      <c r="C45" s="4" t="s">
        <v>101</v>
      </c>
      <c r="D45" s="4" t="s">
        <v>102</v>
      </c>
      <c r="E45" s="4" t="s">
        <v>104</v>
      </c>
      <c r="F45" s="5">
        <v>45992</v>
      </c>
      <c r="G45" s="5">
        <v>46010</v>
      </c>
      <c r="H45" s="4">
        <v>255</v>
      </c>
      <c r="I45" s="4">
        <v>255</v>
      </c>
      <c r="J45" s="4">
        <v>0</v>
      </c>
      <c r="K45" s="4">
        <v>1</v>
      </c>
      <c r="L45" s="4">
        <v>0</v>
      </c>
      <c r="M45" s="4">
        <f t="shared" si="0"/>
        <v>0</v>
      </c>
      <c r="N45" s="4">
        <v>0</v>
      </c>
    </row>
    <row r="46" spans="1:14" x14ac:dyDescent="0.35">
      <c r="A46" s="1" t="s">
        <v>90</v>
      </c>
      <c r="B46" s="4" t="s">
        <v>105</v>
      </c>
      <c r="C46" s="4" t="s">
        <v>101</v>
      </c>
      <c r="D46" s="4" t="s">
        <v>106</v>
      </c>
      <c r="E46" s="4" t="s">
        <v>107</v>
      </c>
      <c r="F46" s="5">
        <v>45887</v>
      </c>
      <c r="G46" s="5">
        <v>45933</v>
      </c>
      <c r="H46" s="4">
        <v>519</v>
      </c>
      <c r="I46" s="4">
        <v>519</v>
      </c>
      <c r="J46" s="4">
        <v>0</v>
      </c>
      <c r="K46" s="4">
        <v>1</v>
      </c>
      <c r="L46" s="4">
        <v>0</v>
      </c>
      <c r="M46" s="4">
        <f t="shared" si="0"/>
        <v>0</v>
      </c>
      <c r="N46" s="4">
        <v>0</v>
      </c>
    </row>
    <row r="47" spans="1:14" x14ac:dyDescent="0.35">
      <c r="A47" s="1" t="s">
        <v>90</v>
      </c>
      <c r="B47" s="4" t="s">
        <v>108</v>
      </c>
      <c r="C47" s="4" t="s">
        <v>101</v>
      </c>
      <c r="D47" s="4" t="s">
        <v>109</v>
      </c>
      <c r="E47" s="4" t="s">
        <v>110</v>
      </c>
      <c r="F47" s="5">
        <v>45936</v>
      </c>
      <c r="G47" s="5">
        <v>45975</v>
      </c>
      <c r="H47" s="4">
        <v>1019</v>
      </c>
      <c r="I47" s="4">
        <v>1019</v>
      </c>
      <c r="J47" s="4">
        <v>0</v>
      </c>
      <c r="K47" s="4">
        <v>1</v>
      </c>
      <c r="L47" s="4">
        <v>0</v>
      </c>
      <c r="M47" s="4">
        <f t="shared" si="0"/>
        <v>0</v>
      </c>
      <c r="N47" s="4">
        <v>0</v>
      </c>
    </row>
    <row r="48" spans="1:14" x14ac:dyDescent="0.35">
      <c r="A48" s="1" t="s">
        <v>90</v>
      </c>
      <c r="B48" s="4" t="s">
        <v>111</v>
      </c>
      <c r="C48" s="4" t="s">
        <v>101</v>
      </c>
      <c r="D48" s="4" t="s">
        <v>109</v>
      </c>
      <c r="E48" s="4" t="s">
        <v>112</v>
      </c>
      <c r="F48" s="5">
        <v>45978</v>
      </c>
      <c r="G48" s="5">
        <v>45989</v>
      </c>
      <c r="H48" s="4">
        <v>501</v>
      </c>
      <c r="I48" s="4">
        <v>501</v>
      </c>
      <c r="J48" s="4">
        <v>0</v>
      </c>
      <c r="K48" s="4">
        <v>1</v>
      </c>
      <c r="L48" s="4">
        <v>0</v>
      </c>
      <c r="M48" s="4">
        <f t="shared" si="0"/>
        <v>0</v>
      </c>
      <c r="N48" s="4">
        <v>0</v>
      </c>
    </row>
    <row r="49" spans="1:14" x14ac:dyDescent="0.35">
      <c r="A49" s="1" t="s">
        <v>90</v>
      </c>
      <c r="B49" s="4" t="s">
        <v>113</v>
      </c>
      <c r="C49" s="4" t="s">
        <v>101</v>
      </c>
      <c r="D49" s="4" t="s">
        <v>109</v>
      </c>
      <c r="E49" s="4" t="s">
        <v>114</v>
      </c>
      <c r="F49" s="5">
        <v>45950</v>
      </c>
      <c r="G49" s="5">
        <v>45982</v>
      </c>
      <c r="H49" s="4">
        <v>1029</v>
      </c>
      <c r="I49" s="4">
        <v>1029</v>
      </c>
      <c r="J49" s="4">
        <v>0</v>
      </c>
      <c r="K49" s="4">
        <v>1</v>
      </c>
      <c r="L49" s="4">
        <v>0</v>
      </c>
      <c r="M49" s="4">
        <f t="shared" si="0"/>
        <v>0</v>
      </c>
      <c r="N49" s="4">
        <v>0</v>
      </c>
    </row>
    <row r="50" spans="1:14" x14ac:dyDescent="0.35">
      <c r="A50" s="1" t="s">
        <v>90</v>
      </c>
      <c r="B50" s="4" t="s">
        <v>115</v>
      </c>
      <c r="C50" s="4" t="s">
        <v>101</v>
      </c>
      <c r="D50" s="4" t="s">
        <v>116</v>
      </c>
      <c r="E50" s="4" t="s">
        <v>60</v>
      </c>
      <c r="F50" s="5">
        <v>45748</v>
      </c>
      <c r="G50" s="5">
        <v>46050</v>
      </c>
      <c r="H50" s="4">
        <v>20148</v>
      </c>
      <c r="I50" s="4">
        <v>19900</v>
      </c>
      <c r="J50" s="4">
        <v>248</v>
      </c>
      <c r="K50" s="4">
        <v>1</v>
      </c>
      <c r="L50" s="4">
        <v>248</v>
      </c>
      <c r="M50" s="4">
        <f t="shared" si="0"/>
        <v>6200</v>
      </c>
      <c r="N50" s="4">
        <v>0</v>
      </c>
    </row>
    <row r="51" spans="1:14" x14ac:dyDescent="0.35">
      <c r="A51" s="1" t="s">
        <v>7</v>
      </c>
      <c r="B51" s="4" t="s">
        <v>117</v>
      </c>
      <c r="C51" s="4" t="s">
        <v>118</v>
      </c>
      <c r="D51" s="4" t="s">
        <v>119</v>
      </c>
      <c r="E51" s="4" t="s">
        <v>120</v>
      </c>
      <c r="F51" s="5">
        <v>46001</v>
      </c>
      <c r="G51" s="6">
        <v>45942</v>
      </c>
      <c r="H51" s="4">
        <v>4267</v>
      </c>
      <c r="I51" s="4">
        <v>4038</v>
      </c>
      <c r="J51" s="4">
        <v>229</v>
      </c>
      <c r="K51" s="4">
        <v>0.9</v>
      </c>
      <c r="L51" s="4">
        <v>604</v>
      </c>
      <c r="M51" s="4">
        <f t="shared" si="0"/>
        <v>15100</v>
      </c>
      <c r="N51" s="4">
        <v>0</v>
      </c>
    </row>
    <row r="52" spans="1:14" x14ac:dyDescent="0.35">
      <c r="A52" s="1" t="s">
        <v>7</v>
      </c>
      <c r="B52" s="4" t="s">
        <v>121</v>
      </c>
      <c r="C52" s="4" t="s">
        <v>118</v>
      </c>
      <c r="D52" s="4" t="s">
        <v>119</v>
      </c>
      <c r="E52" s="4" t="s">
        <v>122</v>
      </c>
      <c r="F52" s="5">
        <v>45930</v>
      </c>
      <c r="G52" s="4" t="s">
        <v>123</v>
      </c>
      <c r="H52" s="4">
        <v>2838</v>
      </c>
      <c r="I52" s="4">
        <v>3335</v>
      </c>
      <c r="J52" s="4">
        <v>-497</v>
      </c>
      <c r="K52" s="4">
        <v>1.2</v>
      </c>
      <c r="L52" s="4">
        <v>242.5</v>
      </c>
      <c r="M52" s="4">
        <f t="shared" si="0"/>
        <v>6062.5</v>
      </c>
      <c r="N52" s="4">
        <v>0</v>
      </c>
    </row>
    <row r="53" spans="1:14" x14ac:dyDescent="0.35">
      <c r="A53" s="1" t="s">
        <v>7</v>
      </c>
      <c r="B53" s="4" t="s">
        <v>121</v>
      </c>
      <c r="C53" s="4" t="s">
        <v>118</v>
      </c>
      <c r="D53" s="4" t="s">
        <v>119</v>
      </c>
      <c r="E53" s="4" t="s">
        <v>124</v>
      </c>
      <c r="F53" s="5">
        <v>45966</v>
      </c>
      <c r="G53" s="6">
        <v>45788</v>
      </c>
      <c r="H53" s="4">
        <v>1894</v>
      </c>
      <c r="I53" s="4">
        <v>1923</v>
      </c>
      <c r="J53" s="4">
        <v>-29</v>
      </c>
      <c r="K53" s="4">
        <v>1</v>
      </c>
      <c r="L53" s="4">
        <v>248</v>
      </c>
      <c r="M53" s="4">
        <f t="shared" si="0"/>
        <v>6200</v>
      </c>
      <c r="N53" s="4">
        <v>0</v>
      </c>
    </row>
    <row r="54" spans="1:14" x14ac:dyDescent="0.35">
      <c r="A54" s="1" t="s">
        <v>7</v>
      </c>
      <c r="B54" s="4" t="s">
        <v>121</v>
      </c>
      <c r="C54" s="4" t="s">
        <v>118</v>
      </c>
      <c r="D54" s="4" t="s">
        <v>119</v>
      </c>
      <c r="E54" s="4" t="s">
        <v>125</v>
      </c>
      <c r="F54" s="5">
        <v>46010</v>
      </c>
      <c r="G54" s="4" t="s">
        <v>126</v>
      </c>
      <c r="H54" s="4">
        <v>480</v>
      </c>
      <c r="I54" s="4">
        <v>977</v>
      </c>
      <c r="J54" s="4">
        <v>-497</v>
      </c>
      <c r="K54" s="4">
        <v>2</v>
      </c>
      <c r="L54" s="4">
        <v>264</v>
      </c>
      <c r="M54" s="4">
        <f t="shared" si="0"/>
        <v>6600</v>
      </c>
      <c r="N54" s="4">
        <v>0</v>
      </c>
    </row>
    <row r="55" spans="1:14" x14ac:dyDescent="0.35">
      <c r="A55" s="2"/>
    </row>
    <row r="56" spans="1:14" x14ac:dyDescent="0.35">
      <c r="A5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Ashu Joshi</dc:creator>
  <cp:lastModifiedBy>Ashu Joshi</cp:lastModifiedBy>
  <dcterms:created xsi:type="dcterms:W3CDTF">2015-06-05T18:17:20Z</dcterms:created>
  <dcterms:modified xsi:type="dcterms:W3CDTF">2026-06-24T17:08:40Z</dcterms:modified>
</cp:coreProperties>
</file>